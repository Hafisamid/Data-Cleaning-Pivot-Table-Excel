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oogle analytic\excel cert\Project\Part 2\"/>
    </mc:Choice>
  </mc:AlternateContent>
  <xr:revisionPtr revIDLastSave="0" documentId="8_{3A54D460-1513-430C-BDEC-DAD89007FC0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tgomery_Fleet_Equipment_Inve" sheetId="1" r:id="rId1"/>
    <sheet name="Pivot1" sheetId="2" r:id="rId2"/>
    <sheet name="Pivot2" sheetId="3" r:id="rId3"/>
    <sheet name="Pivot3" sheetId="4" r:id="rId4"/>
  </sheets>
  <definedNames>
    <definedName name="_xlnm._FilterDatabase" localSheetId="0" hidden="1">Montgomery_Fleet_Equipment_Inve!$A$1:$C$50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7" i="1"/>
  <c r="G6" i="1"/>
  <c r="G5" i="1"/>
  <c r="G4" i="1"/>
</calcChain>
</file>

<file path=xl/sharedStrings.xml><?xml version="1.0" encoding="utf-8"?>
<sst xmlns="http://schemas.openxmlformats.org/spreadsheetml/2006/main" count="170" uniqueCount="40">
  <si>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</si>
  <si>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</si>
  <si>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</si>
  <si>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</si>
  <si>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</si>
  <si>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</si>
  <si>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</si>
  <si>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</si>
  <si>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</si>
  <si>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</si>
  <si>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</si>
  <si>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</si>
  <si>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</si>
  <si>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</si>
  <si>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</si>
  <si>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</si>
  <si>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</si>
  <si>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</si>
  <si>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</si>
  <si>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</si>
  <si>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</si>
  <si>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</si>
  <si>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</si>
  <si>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</si>
  <si>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</si>
  <si>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</si>
  <si>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</si>
  <si>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</si>
  <si>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</si>
  <si>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 Equipment</t>
  </si>
  <si>
    <t>Average Equipment</t>
  </si>
  <si>
    <t>Min Equipment</t>
  </si>
  <si>
    <t>Max Equipment</t>
  </si>
  <si>
    <t>Count Equipment</t>
  </si>
  <si>
    <t>Column1</t>
  </si>
  <si>
    <t>Column2</t>
  </si>
  <si>
    <t>Row Labels</t>
  </si>
  <si>
    <t>(blank)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</si>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</sst>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5.650464814818" createdVersion="7" refreshedVersion="7" minRefreshableVersion="3" recordCount="50" xr:uid="{21425468-8808-4627-AB72-58F91CB909C6}">
  <cacheSource type="worksheet">
    <worksheetSource ref="A1:C1048576" sheet="Montgomery_Fleet_Equipment_Inve"/>
  </cacheSource>
  <cacheFields count="3">
    <cacheField name="Department" numFmtId="0">
      <sharedItems containsBlank="1" count="13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  <m/>
      </sharedItems>
    </cacheField>
    <cacheField name="Equipment Class" numFmtId="0">
      <sharedItems containsBlank="1" count="15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  <m/>
      </sharedItems>
    </cacheField>
    <cacheField name="Equipment Count" numFmtId="0">
      <sharedItems containsString="0" containsBlank="1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  <r>
    <x v="12"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5879D-A6D1-4558-8E78-FAAD19C94E33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7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4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>
      <x v="12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E9883-AF97-49ED-8C0B-97C1F1753E8F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6" firstHeaderRow="1" firstDataRow="1" firstDataCol="1"/>
  <pivotFields count="3">
    <pivotField axis="axisRow" showAll="0" sortType="descending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sd="0" x="1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6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x="14"/>
        <item t="default"/>
      </items>
    </pivotField>
    <pivotField dataField="1" showAll="0"/>
  </pivotFields>
  <rowFields count="2">
    <field x="0"/>
    <field x="1"/>
  </rowFields>
  <rowItems count="23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>
      <x v="12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24FF7-CF13-46FC-B299-4CFF6FE9A635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2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6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sd="0" x="14"/>
        <item t="default" sd="0"/>
      </items>
    </pivotField>
    <pivotField dataField="1" showAll="0"/>
  </pivotFields>
  <rowFields count="2">
    <field x="1"/>
    <field x="0"/>
  </rowFields>
  <rowItems count="19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3F10E4-50AA-4D23-89D0-930E40CC1BA8}" name="Table1" displayName="Table1" ref="A1:C50" totalsRowShown="0">
  <autoFilter ref="A1:C50" xr:uid="{2C3F10E4-50AA-4D23-89D0-930E40CC1BA8}"/>
  <tableColumns count="3">
    <tableColumn id="1" xr3:uid="{07960281-F3D1-4773-AFB4-E6B98396E49F}" name="Department"/>
    <tableColumn id="2" xr3:uid="{EE47EAC7-984A-4D9A-8973-9722F59FFA85}" name="Equipment Class"/>
    <tableColumn id="3" xr3:uid="{33B6507E-1C2B-4D38-BC10-001C7F10BF8B}" name="Equipment Count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FE359-883D-4D1A-B49B-57C279ED3BC5}" name="Table2" displayName="Table2" ref="F2:G7" totalsRowShown="0">
  <autoFilter ref="F2:G7" xr:uid="{397FE359-883D-4D1A-B49B-57C279ED3BC5}"/>
  <tableColumns count="2">
    <tableColumn id="1" xr3:uid="{C26DE392-57AA-4F52-92F7-00131162F0E1}" name="Column1"/>
    <tableColumn id="2" xr3:uid="{EBCEE204-0672-4B24-B016-812DF7358574}" name="Column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sqref="A1:C1048576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  <col min="6" max="6" width="18.7109375" bestFit="1" customWidth="1"/>
    <col min="7" max="7" width="1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5</v>
      </c>
      <c r="B2" t="s">
        <v>6</v>
      </c>
      <c r="C2">
        <v>21</v>
      </c>
      <c r="F2" t="s">
        <v>34</v>
      </c>
      <c r="G2" t="s">
        <v>35</v>
      </c>
    </row>
    <row r="3" spans="1:7" x14ac:dyDescent="0.25">
      <c r="A3" t="s">
        <v>5</v>
      </c>
      <c r="B3" t="s">
        <v>7</v>
      </c>
      <c r="C3">
        <v>1</v>
      </c>
      <c r="F3" t="s">
        <v>29</v>
      </c>
      <c r="G3">
        <f>SUM(C:C)</f>
        <v>1582</v>
      </c>
    </row>
    <row r="4" spans="1:7" x14ac:dyDescent="0.25">
      <c r="A4" t="s">
        <v>5</v>
      </c>
      <c r="B4" t="s">
        <v>4</v>
      </c>
      <c r="C4">
        <v>23</v>
      </c>
      <c r="F4" t="s">
        <v>30</v>
      </c>
      <c r="G4">
        <f>AVERAGE(Table1[Equipment Count])</f>
        <v>32.285714285714285</v>
      </c>
    </row>
    <row r="5" spans="1:7" x14ac:dyDescent="0.25">
      <c r="A5" t="s">
        <v>8</v>
      </c>
      <c r="B5" t="s">
        <v>4</v>
      </c>
      <c r="C5">
        <v>2</v>
      </c>
      <c r="F5" t="s">
        <v>31</v>
      </c>
      <c r="G5">
        <f>MIN(Table1[Equipment Count])</f>
        <v>1</v>
      </c>
    </row>
    <row r="6" spans="1:7" x14ac:dyDescent="0.25">
      <c r="A6" t="s">
        <v>9</v>
      </c>
      <c r="B6" t="s">
        <v>6</v>
      </c>
      <c r="C6">
        <v>3</v>
      </c>
      <c r="F6" t="s">
        <v>32</v>
      </c>
      <c r="G6">
        <f>MAX(C:C)</f>
        <v>379</v>
      </c>
    </row>
    <row r="7" spans="1:7" x14ac:dyDescent="0.25">
      <c r="A7" t="s">
        <v>9</v>
      </c>
      <c r="B7" t="s">
        <v>10</v>
      </c>
      <c r="C7">
        <v>2</v>
      </c>
      <c r="F7" t="s">
        <v>33</v>
      </c>
      <c r="G7">
        <f>COUNT(C:C)</f>
        <v>49</v>
      </c>
    </row>
    <row r="8" spans="1:7" x14ac:dyDescent="0.25">
      <c r="A8" t="s">
        <v>9</v>
      </c>
      <c r="B8" t="s">
        <v>11</v>
      </c>
      <c r="C8">
        <v>1</v>
      </c>
    </row>
    <row r="9" spans="1:7" x14ac:dyDescent="0.25">
      <c r="A9" t="s">
        <v>12</v>
      </c>
      <c r="B9" t="s">
        <v>10</v>
      </c>
      <c r="C9">
        <v>2</v>
      </c>
    </row>
    <row r="10" spans="1:7" x14ac:dyDescent="0.25">
      <c r="A10" t="s">
        <v>12</v>
      </c>
      <c r="B10" t="s">
        <v>13</v>
      </c>
      <c r="C10">
        <v>42</v>
      </c>
    </row>
    <row r="11" spans="1:7" x14ac:dyDescent="0.25">
      <c r="A11" t="s">
        <v>12</v>
      </c>
      <c r="B11" t="s">
        <v>7</v>
      </c>
      <c r="C11">
        <v>1</v>
      </c>
    </row>
    <row r="12" spans="1:7" x14ac:dyDescent="0.25">
      <c r="A12" t="s">
        <v>12</v>
      </c>
      <c r="B12" t="s">
        <v>4</v>
      </c>
      <c r="C12">
        <v>11</v>
      </c>
    </row>
    <row r="13" spans="1:7" x14ac:dyDescent="0.25">
      <c r="A13" t="s">
        <v>14</v>
      </c>
      <c r="B13" t="s">
        <v>7</v>
      </c>
      <c r="C13">
        <v>1</v>
      </c>
    </row>
    <row r="14" spans="1:7" x14ac:dyDescent="0.25">
      <c r="A14" t="s">
        <v>15</v>
      </c>
      <c r="B14" t="s">
        <v>16</v>
      </c>
      <c r="C14">
        <v>9</v>
      </c>
    </row>
    <row r="15" spans="1:7" x14ac:dyDescent="0.25">
      <c r="A15" t="s">
        <v>15</v>
      </c>
      <c r="B15" t="s">
        <v>7</v>
      </c>
      <c r="C15">
        <v>27</v>
      </c>
    </row>
    <row r="16" spans="1:7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2B93-FD78-4913-8F83-470886DB5005}">
  <dimension ref="A3:B17"/>
  <sheetViews>
    <sheetView workbookViewId="0">
      <selection activeCell="B7" sqref="B7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36</v>
      </c>
      <c r="B3" t="s">
        <v>39</v>
      </c>
    </row>
    <row r="4" spans="1:2" x14ac:dyDescent="0.25">
      <c r="A4" s="2" t="s">
        <v>26</v>
      </c>
      <c r="B4" s="3">
        <v>1221</v>
      </c>
    </row>
    <row r="5" spans="1:2" x14ac:dyDescent="0.25">
      <c r="A5" s="2" t="s">
        <v>15</v>
      </c>
      <c r="B5" s="3">
        <v>109</v>
      </c>
    </row>
    <row r="6" spans="1:2" x14ac:dyDescent="0.25">
      <c r="A6" s="2" t="s">
        <v>19</v>
      </c>
      <c r="B6" s="3">
        <v>85</v>
      </c>
    </row>
    <row r="7" spans="1:2" x14ac:dyDescent="0.25">
      <c r="A7" s="2" t="s">
        <v>12</v>
      </c>
      <c r="B7" s="3">
        <v>56</v>
      </c>
    </row>
    <row r="8" spans="1:2" x14ac:dyDescent="0.25">
      <c r="A8" s="2" t="s">
        <v>5</v>
      </c>
      <c r="B8" s="3">
        <v>45</v>
      </c>
    </row>
    <row r="9" spans="1:2" x14ac:dyDescent="0.25">
      <c r="A9" s="2" t="s">
        <v>18</v>
      </c>
      <c r="B9" s="3">
        <v>35</v>
      </c>
    </row>
    <row r="10" spans="1:2" x14ac:dyDescent="0.25">
      <c r="A10" s="2" t="s">
        <v>25</v>
      </c>
      <c r="B10" s="3">
        <v>16</v>
      </c>
    </row>
    <row r="11" spans="1:2" x14ac:dyDescent="0.25">
      <c r="A11" s="2" t="s">
        <v>9</v>
      </c>
      <c r="B11" s="3">
        <v>6</v>
      </c>
    </row>
    <row r="12" spans="1:2" x14ac:dyDescent="0.25">
      <c r="A12" s="2" t="s">
        <v>24</v>
      </c>
      <c r="B12" s="3">
        <v>5</v>
      </c>
    </row>
    <row r="13" spans="1:2" x14ac:dyDescent="0.25">
      <c r="A13" s="2" t="s">
        <v>8</v>
      </c>
      <c r="B13" s="3">
        <v>2</v>
      </c>
    </row>
    <row r="14" spans="1:2" x14ac:dyDescent="0.25">
      <c r="A14" s="2" t="s">
        <v>14</v>
      </c>
      <c r="B14" s="3">
        <v>1</v>
      </c>
    </row>
    <row r="15" spans="1:2" x14ac:dyDescent="0.25">
      <c r="A15" s="2" t="s">
        <v>17</v>
      </c>
      <c r="B15" s="3">
        <v>1</v>
      </c>
    </row>
    <row r="16" spans="1:2" x14ac:dyDescent="0.25">
      <c r="A16" s="2" t="s">
        <v>37</v>
      </c>
      <c r="B16" s="3"/>
    </row>
    <row r="17" spans="1:2" x14ac:dyDescent="0.25">
      <c r="A17" s="2" t="s">
        <v>38</v>
      </c>
      <c r="B17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00FC-8B5D-4E8F-943D-6F2F7377BD9D}">
  <dimension ref="A3:B26"/>
  <sheetViews>
    <sheetView workbookViewId="0">
      <selection activeCell="A4" sqref="A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36</v>
      </c>
      <c r="B3" t="s">
        <v>39</v>
      </c>
    </row>
    <row r="4" spans="1:2" x14ac:dyDescent="0.25">
      <c r="A4" s="2" t="s">
        <v>26</v>
      </c>
      <c r="B4" s="3">
        <v>1221</v>
      </c>
    </row>
    <row r="5" spans="1:2" x14ac:dyDescent="0.25">
      <c r="A5" s="4" t="s">
        <v>16</v>
      </c>
      <c r="B5" s="3">
        <v>5</v>
      </c>
    </row>
    <row r="6" spans="1:2" x14ac:dyDescent="0.25">
      <c r="A6" s="4" t="s">
        <v>13</v>
      </c>
      <c r="B6" s="3">
        <v>248</v>
      </c>
    </row>
    <row r="7" spans="1:2" x14ac:dyDescent="0.25">
      <c r="A7" s="4" t="s">
        <v>11</v>
      </c>
      <c r="B7" s="3">
        <v>98</v>
      </c>
    </row>
    <row r="8" spans="1:2" x14ac:dyDescent="0.25">
      <c r="A8" s="4" t="s">
        <v>28</v>
      </c>
      <c r="B8" s="3">
        <v>276</v>
      </c>
    </row>
    <row r="9" spans="1:2" x14ac:dyDescent="0.25">
      <c r="A9" s="4" t="s">
        <v>6</v>
      </c>
      <c r="B9" s="3">
        <v>93</v>
      </c>
    </row>
    <row r="10" spans="1:2" x14ac:dyDescent="0.25">
      <c r="A10" s="4" t="s">
        <v>4</v>
      </c>
      <c r="B10" s="3">
        <v>37</v>
      </c>
    </row>
    <row r="11" spans="1:2" x14ac:dyDescent="0.25">
      <c r="A11" s="4" t="s">
        <v>7</v>
      </c>
      <c r="B11" s="3">
        <v>53</v>
      </c>
    </row>
    <row r="12" spans="1:2" x14ac:dyDescent="0.25">
      <c r="A12" s="4" t="s">
        <v>27</v>
      </c>
      <c r="B12" s="3">
        <v>379</v>
      </c>
    </row>
    <row r="13" spans="1:2" x14ac:dyDescent="0.25">
      <c r="A13" s="4" t="s">
        <v>10</v>
      </c>
      <c r="B13" s="3">
        <v>32</v>
      </c>
    </row>
    <row r="14" spans="1:2" x14ac:dyDescent="0.25">
      <c r="A14" s="2" t="s">
        <v>15</v>
      </c>
      <c r="B14" s="3">
        <v>109</v>
      </c>
    </row>
    <row r="15" spans="1:2" x14ac:dyDescent="0.25">
      <c r="A15" s="2" t="s">
        <v>19</v>
      </c>
      <c r="B15" s="3">
        <v>85</v>
      </c>
    </row>
    <row r="16" spans="1:2" x14ac:dyDescent="0.25">
      <c r="A16" s="2" t="s">
        <v>12</v>
      </c>
      <c r="B16" s="3">
        <v>56</v>
      </c>
    </row>
    <row r="17" spans="1:2" x14ac:dyDescent="0.25">
      <c r="A17" s="2" t="s">
        <v>5</v>
      </c>
      <c r="B17" s="3">
        <v>45</v>
      </c>
    </row>
    <row r="18" spans="1:2" x14ac:dyDescent="0.25">
      <c r="A18" s="2" t="s">
        <v>18</v>
      </c>
      <c r="B18" s="3">
        <v>35</v>
      </c>
    </row>
    <row r="19" spans="1:2" x14ac:dyDescent="0.25">
      <c r="A19" s="2" t="s">
        <v>25</v>
      </c>
      <c r="B19" s="3">
        <v>16</v>
      </c>
    </row>
    <row r="20" spans="1:2" x14ac:dyDescent="0.25">
      <c r="A20" s="2" t="s">
        <v>9</v>
      </c>
      <c r="B20" s="3">
        <v>6</v>
      </c>
    </row>
    <row r="21" spans="1:2" x14ac:dyDescent="0.25">
      <c r="A21" s="2" t="s">
        <v>24</v>
      </c>
      <c r="B21" s="3">
        <v>5</v>
      </c>
    </row>
    <row r="22" spans="1:2" x14ac:dyDescent="0.25">
      <c r="A22" s="2" t="s">
        <v>8</v>
      </c>
      <c r="B22" s="3">
        <v>2</v>
      </c>
    </row>
    <row r="23" spans="1:2" x14ac:dyDescent="0.25">
      <c r="A23" s="2" t="s">
        <v>14</v>
      </c>
      <c r="B23" s="3">
        <v>1</v>
      </c>
    </row>
    <row r="24" spans="1:2" x14ac:dyDescent="0.25">
      <c r="A24" s="2" t="s">
        <v>17</v>
      </c>
      <c r="B24" s="3">
        <v>1</v>
      </c>
    </row>
    <row r="25" spans="1:2" x14ac:dyDescent="0.25">
      <c r="A25" s="2" t="s">
        <v>37</v>
      </c>
      <c r="B25" s="3"/>
    </row>
    <row r="26" spans="1:2" x14ac:dyDescent="0.25">
      <c r="A26" s="2" t="s">
        <v>38</v>
      </c>
      <c r="B26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8910-C734-4A11-A7C9-6EB4D12E5E36}">
  <dimension ref="A3:B22"/>
  <sheetViews>
    <sheetView tabSelected="1" workbookViewId="0">
      <selection activeCell="A4" sqref="A4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1" t="s">
        <v>36</v>
      </c>
      <c r="B3" t="s">
        <v>39</v>
      </c>
    </row>
    <row r="4" spans="1:2" x14ac:dyDescent="0.25">
      <c r="A4" s="2" t="s">
        <v>16</v>
      </c>
      <c r="B4" s="3">
        <v>15</v>
      </c>
    </row>
    <row r="5" spans="1:2" x14ac:dyDescent="0.25">
      <c r="A5" s="4" t="s">
        <v>15</v>
      </c>
      <c r="B5" s="3">
        <v>9</v>
      </c>
    </row>
    <row r="6" spans="1:2" x14ac:dyDescent="0.25">
      <c r="A6" s="4" t="s">
        <v>26</v>
      </c>
      <c r="B6" s="3">
        <v>5</v>
      </c>
    </row>
    <row r="7" spans="1:2" x14ac:dyDescent="0.25">
      <c r="A7" s="4" t="s">
        <v>25</v>
      </c>
      <c r="B7" s="3">
        <v>1</v>
      </c>
    </row>
    <row r="8" spans="1:2" x14ac:dyDescent="0.25">
      <c r="A8" s="2" t="s">
        <v>13</v>
      </c>
      <c r="B8" s="3">
        <v>290</v>
      </c>
    </row>
    <row r="9" spans="1:2" x14ac:dyDescent="0.25">
      <c r="A9" s="2" t="s">
        <v>11</v>
      </c>
      <c r="B9" s="3">
        <v>100</v>
      </c>
    </row>
    <row r="10" spans="1:2" x14ac:dyDescent="0.25">
      <c r="A10" s="2" t="s">
        <v>28</v>
      </c>
      <c r="B10" s="3">
        <v>283</v>
      </c>
    </row>
    <row r="11" spans="1:2" x14ac:dyDescent="0.25">
      <c r="A11" s="2" t="s">
        <v>6</v>
      </c>
      <c r="B11" s="3">
        <v>150</v>
      </c>
    </row>
    <row r="12" spans="1:2" x14ac:dyDescent="0.25">
      <c r="A12" s="2" t="s">
        <v>21</v>
      </c>
      <c r="B12" s="3">
        <v>4</v>
      </c>
    </row>
    <row r="13" spans="1:2" x14ac:dyDescent="0.25">
      <c r="A13" s="2" t="s">
        <v>23</v>
      </c>
      <c r="B13" s="3">
        <v>1</v>
      </c>
    </row>
    <row r="14" spans="1:2" x14ac:dyDescent="0.25">
      <c r="A14" s="2" t="s">
        <v>22</v>
      </c>
      <c r="B14" s="3">
        <v>47</v>
      </c>
    </row>
    <row r="15" spans="1:2" x14ac:dyDescent="0.25">
      <c r="A15" s="2" t="s">
        <v>3</v>
      </c>
      <c r="B15" s="3">
        <v>20</v>
      </c>
    </row>
    <row r="16" spans="1:2" x14ac:dyDescent="0.25">
      <c r="A16" s="2" t="s">
        <v>20</v>
      </c>
      <c r="B16" s="3">
        <v>8</v>
      </c>
    </row>
    <row r="17" spans="1:2" x14ac:dyDescent="0.25">
      <c r="A17" s="2" t="s">
        <v>4</v>
      </c>
      <c r="B17" s="3">
        <v>130</v>
      </c>
    </row>
    <row r="18" spans="1:2" x14ac:dyDescent="0.25">
      <c r="A18" s="2" t="s">
        <v>7</v>
      </c>
      <c r="B18" s="3">
        <v>90</v>
      </c>
    </row>
    <row r="19" spans="1:2" x14ac:dyDescent="0.25">
      <c r="A19" s="2" t="s">
        <v>27</v>
      </c>
      <c r="B19" s="3">
        <v>379</v>
      </c>
    </row>
    <row r="20" spans="1:2" x14ac:dyDescent="0.25">
      <c r="A20" s="2" t="s">
        <v>10</v>
      </c>
      <c r="B20" s="3">
        <v>65</v>
      </c>
    </row>
    <row r="21" spans="1:2" x14ac:dyDescent="0.25">
      <c r="A21" s="2" t="s">
        <v>37</v>
      </c>
      <c r="B21" s="3"/>
    </row>
    <row r="22" spans="1:2" x14ac:dyDescent="0.25">
      <c r="A22" s="2" t="s">
        <v>38</v>
      </c>
      <c r="B22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Pivot1</vt:lpstr>
      <vt:lpstr>Pivot2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hafis amid</cp:lastModifiedBy>
  <dcterms:created xsi:type="dcterms:W3CDTF">2020-09-01T17:18:12Z</dcterms:created>
  <dcterms:modified xsi:type="dcterms:W3CDTF">2025-12-14T07:45:13Z</dcterms:modified>
</cp:coreProperties>
</file>